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3311c4675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证据分类表" sheetId="1" r:id="R23e2428557524690"/>
    <x:sheet xmlns:r="http://schemas.openxmlformats.org/officeDocument/2006/relationships" name="口径说明" sheetId="2" r:id="R870709bac45d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4D78"/>
      <x:name val="Carlito"/>
    </x:font>
    <x:font>
      <x:b/>
      <x:sz val="11"/>
      <x:color rgb="FFFFFFFF"/>
      <x:name val="Carlito"/>
    </x:font>
    <x:font>
      <x:sz val="10"/>
      <x:color rgb="FF101828"/>
      <x:name val="Carlito"/>
    </x:font>
    <x:font>
      <x:sz val="10"/>
      <x:name val="Carlito"/>
    </x:font>
    <x:font>
      <x:b/>
      <x:sz val="11"/>
      <x:color rgb="FF1F4D78"/>
      <x:name val="Carlito"/>
    </x:font>
    <x:font>
      <x:i/>
      <x:sz val="11"/>
      <x:color rgb="FF8A4B0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4E5"/>
      </x:patternFill>
    </x:fill>
  </x:fills>
  <x:borders count="22">
    <x:border/>
    <x:border>
      <x:left style="thin">
        <x:color rgb="FF98A2B3"/>
      </x:left>
      <x:top style="thin">
        <x:color rgb="FF98A2B3"/>
      </x:top>
      <x:bottom style="thin">
        <x:color rgb="FF98A2B3"/>
      </x:bottom>
    </x:border>
    <x:border>
      <x:top style="thin">
        <x:color rgb="FF98A2B3"/>
      </x:top>
      <x:bottom style="thin">
        <x:color rgb="FF98A2B3"/>
      </x:bottom>
    </x:border>
    <x:border>
      <x:right style="thin">
        <x:color rgb="FF98A2B3"/>
      </x:right>
      <x:top style="thin">
        <x:color rgb="FF98A2B3"/>
      </x:top>
      <x:bottom style="thin">
        <x:color rgb="FF98A2B3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  <x:bottom style="thin">
        <x:color rgb="FFD0D5DD"/>
      </x:bottom>
    </x:border>
    <x:border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bottom style="thin">
        <x:color rgb="FFE4E7EC"/>
      </x:bottom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top style="thin">
        <x:color rgb="FFE4E7EC"/>
      </x:top>
      <x:bottom style="thin">
        <x:color rgb="FFE4E7EC"/>
      </x:bottom>
    </x:border>
    <x:border>
      <x:right style="thin">
        <x:color rgb="FFE4E7EC"/>
      </x:right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</x:border>
    <x:border>
      <x:left style="thin">
        <x:color rgb="FFE4E7EC"/>
      </x:left>
      <x:top style="thin">
        <x:color rgb="FFE4E7EC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right" vertical="top" wrapText="1"/>
    </x:xf>
    <x:xf numFmtId="0" fontId="4" fillId="0" borderId="5" xfId="0" applyNumberFormat="1" applyFont="1" applyFill="1" applyBorder="1" applyAlignment="1">
      <x:alignment horizontal="right" vertical="top" wrapText="1"/>
    </x:xf>
    <x:xf numFmtId="0" fontId="4" fillId="0" borderId="6" xfId="0" applyNumberFormat="1" applyFont="1" applyFill="1" applyBorder="1" applyAlignment="1">
      <x:alignment horizontal="right" vertical="top" wrapText="1"/>
    </x:xf>
    <x:xf numFmtId="200" fontId="4" fillId="0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4" fillId="0" borderId="6" xfId="0" applyNumberFormat="1" applyFont="1" applyFill="1" applyBorder="1" applyAlignment="1">
      <x:alignment horizontal="right" vertical="top" wrapText="1"/>
    </x:xf>
    <x:xf numFmtId="201" fontId="4" fillId="0" borderId="5" xfId="0" applyNumberFormat="1" applyFont="1" applyFill="1" applyBorder="1" applyAlignment="1">
      <x:alignment horizontal="right" vertical="top" wrapText="1"/>
    </x:xf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202" fontId="0" fillId="0" borderId="17" xfId="0" applyNumberFormat="1" applyFont="1" applyFill="1" applyBorder="1"/>
    <x:xf numFmtId="202" fontId="0" fillId="0" borderId="19" xfId="0" applyNumberFormat="1" applyFont="1" applyFill="1" applyBorder="1"/>
    <x:xf numFmtId="202" fontId="0" fillId="0" borderId="2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8A4B08"/>
      </x:font>
      <x:fill>
        <x:patternFill patternType="solid">
          <x:bgColor rgb="FFFFF4E5"/>
        </x:patternFill>
      </x:fill>
    </x:dxf>
    <x:dxf>
      <x:font>
        <x:b/>
        <x:color rgb="FFB42318"/>
      </x:font>
      <x:fill>
        <x:patternFill patternType="solid">
          <x:bgColor rgb="FFFEF3F2"/>
        </x:patternFill>
      </x:fill>
    </x:dxf>
    <x:dxf>
      <x:font>
        <x:b/>
        <x:color rgb="FF475467"/>
      </x:font>
      <x:fill>
        <x:patternFill patternType="solid">
          <x:bgColor rgb="FFF2F4F7"/>
        </x:patternFill>
      </x:fill>
    </x:dxf>
    <x:dxf>
      <x:font>
        <x:b/>
        <x:color rgb="FF027A48"/>
      </x:font>
      <x:fill>
        <x:patternFill patternType="solid">
          <x:bgColor rgb="FFECF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f588928aa4439" /><Relationship Type="http://schemas.openxmlformats.org/officeDocument/2006/relationships/theme" Target="/xl/theme/theme1.xml" Id="Rc999c3de92ed4424" /><Relationship Type="http://schemas.openxmlformats.org/officeDocument/2006/relationships/sharedStrings" Target="/xl/sharedStrings.xml" Id="R62fa76fd20a041b8" /><Relationship Type="http://schemas.openxmlformats.org/officeDocument/2006/relationships/worksheet" Target="/xl/worksheets/sheet1.xml" Id="R23e2428557524690" /><Relationship Type="http://schemas.openxmlformats.org/officeDocument/2006/relationships/worksheet" Target="/xl/worksheets/sheet2.xml" Id="R870709bac45d48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7" hidden="0" customWidth="1"/>
    <x:col min="3" max="3" width="15" hidden="0" customWidth="1"/>
    <x:col min="4" max="4" width="15" hidden="0" customWidth="1"/>
    <x:col min="5" max="5" width="12" hidden="0" customWidth="1"/>
    <x:col min="6" max="6" width="24" hidden="0" customWidth="1"/>
    <x:col min="7" max="7" width="31" hidden="0" customWidth="1"/>
    <x:col min="8" max="8" width="34" hidden="0" customWidth="1"/>
    <x:col min="9" max="9" width="52" hidden="0" customWidth="1"/>
  </x:cols>
  <x:sheetData>
    <x:row r="1" ht="32" customHeight="1">
      <x:c r="A1" s="4" t="str">
        <x:v>明川银行 AI 反欺诈预警系统｜事实、主张、假设与待确认表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7" t="str">
        <x:v>当前正式口径：预算上限650万元、总周期9个月。供应商效果均为“供应商主张，尚未验证”。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9" t="str">
        <x:v>ID</x:v>
      </x:c>
      <x:c r="B4" s="20" t="str">
        <x:v>关键字段</x:v>
      </x:c>
      <x:c r="C4" s="20" t="str">
        <x:v>数值下限/单值</x:v>
      </x:c>
      <x:c r="D4" s="20" t="str">
        <x:v>数值上限</x:v>
      </x:c>
      <x:c r="E4" s="20" t="str">
        <x:v>单位</x:v>
      </x:c>
      <x:c r="F4" s="20" t="str">
        <x:v>证据标签</x:v>
      </x:c>
      <x:c r="G4" s="20" t="str">
        <x:v>来源文件</x:v>
      </x:c>
      <x:c r="H4" s="20" t="str">
        <x:v>具体位置</x:v>
      </x:c>
      <x:c r="I4" s="21" t="str">
        <x:v>限制与处理方式</x:v>
      </x:c>
    </x:row>
    <x:row r="5" ht="15" hidden="0" customHeight="1">
      <x:c r="A5" s="32" t="str">
        <x:v>F01</x:v>
      </x:c>
      <x:c r="B5" s="29" t="str">
        <x:v>年交易量</x:v>
      </x:c>
      <x:c r="C5" s="38" t="n">
        <x:v>12000000</x:v>
      </x:c>
      <x:c r="D5" s="38"/>
      <x:c r="E5" s="35" t="str">
        <x:v>笔/年</x:v>
      </x:c>
      <x:c r="F5" s="29" t="str">
        <x:v>事实</x:v>
      </x:c>
      <x:c r="G5" s="29" t="str">
        <x:v>02_项目事实表.xlsx</x:v>
      </x:c>
      <x:c r="H5" s="29" t="str">
        <x:v>项目事实!F01</x:v>
      </x:c>
      <x:c r="I5" s="29" t="str">
        <x:v>用于说明业务规模</x:v>
      </x:c>
    </x:row>
    <x:row r="6" ht="15" hidden="0" customHeight="1">
      <x:c r="A6" s="33" t="str">
        <x:v>F02</x:v>
      </x:c>
      <x:c r="B6" s="30" t="str">
        <x:v>年预警量</x:v>
      </x:c>
      <x:c r="C6" s="39" t="n">
        <x:v>18000</x:v>
      </x:c>
      <x:c r="D6" s="39"/>
      <x:c r="E6" s="36" t="str">
        <x:v>笔/年</x:v>
      </x:c>
      <x:c r="F6" s="30" t="str">
        <x:v>事实</x:v>
      </x:c>
      <x:c r="G6" s="30" t="str">
        <x:v>02_项目事实表.xlsx</x:v>
      </x:c>
      <x:c r="H6" s="30" t="str">
        <x:v>项目事实!F02</x:v>
      </x:c>
      <x:c r="I6" s="30" t="str">
        <x:v>当前规则产生的预警</x:v>
      </x:c>
    </x:row>
    <x:row r="7" ht="15" hidden="0" customHeight="1">
      <x:c r="A7" s="33" t="str">
        <x:v>F03</x:v>
      </x:c>
      <x:c r="B7" s="30" t="str">
        <x:v>年确认欺诈</x:v>
      </x:c>
      <x:c r="C7" s="39" t="n">
        <x:v>2400</x:v>
      </x:c>
      <x:c r="D7" s="39"/>
      <x:c r="E7" s="36" t="str">
        <x:v>笔/年</x:v>
      </x:c>
      <x:c r="F7" s="30" t="str">
        <x:v>事实</x:v>
      </x:c>
      <x:c r="G7" s="30" t="str">
        <x:v>02_项目事实表.xlsx</x:v>
      </x:c>
      <x:c r="H7" s="30" t="str">
        <x:v>项目事实!F03</x:v>
      </x:c>
      <x:c r="I7" s="30" t="str">
        <x:v>历史确认案件</x:v>
      </x:c>
    </x:row>
    <x:row r="8" ht="15" hidden="0" customHeight="1">
      <x:c r="A8" s="33" t="str">
        <x:v>F04</x:v>
      </x:c>
      <x:c r="B8" s="30" t="str">
        <x:v>年直接欺诈损失</x:v>
      </x:c>
      <x:c r="C8" s="39" t="n">
        <x:v>36000000</x:v>
      </x:c>
      <x:c r="D8" s="39"/>
      <x:c r="E8" s="36" t="str">
        <x:v>元/年</x:v>
      </x:c>
      <x:c r="F8" s="30" t="str">
        <x:v>事实</x:v>
      </x:c>
      <x:c r="G8" s="30" t="str">
        <x:v>02_项目事实表.xlsx</x:v>
      </x:c>
      <x:c r="H8" s="30" t="str">
        <x:v>项目事实!F04</x:v>
      </x:c>
      <x:c r="I8" s="30" t="str">
        <x:v>不含间接与声誉成本</x:v>
      </x:c>
    </x:row>
    <x:row r="9" ht="15" hidden="0" customHeight="1">
      <x:c r="A9" s="33" t="str">
        <x:v>F05</x:v>
      </x:c>
      <x:c r="B9" s="30" t="str">
        <x:v>人工审核团队</x:v>
      </x:c>
      <x:c r="C9" s="39" t="n">
        <x:v>28</x:v>
      </x:c>
      <x:c r="D9" s="39"/>
      <x:c r="E9" s="36" t="str">
        <x:v>人</x:v>
      </x:c>
      <x:c r="F9" s="30" t="str">
        <x:v>事实</x:v>
      </x:c>
      <x:c r="G9" s="30" t="str">
        <x:v>02_项目事实表.xlsx</x:v>
      </x:c>
      <x:c r="H9" s="30" t="str">
        <x:v>项目事实!F05</x:v>
      </x:c>
      <x:c r="I9" s="30" t="str">
        <x:v>当前配置</x:v>
      </x:c>
    </x:row>
    <x:row r="10" ht="15" hidden="0" customHeight="1">
      <x:c r="A10" s="33" t="str">
        <x:v>F06</x:v>
      </x:c>
      <x:c r="B10" s="30" t="str">
        <x:v>平均审核时长</x:v>
      </x:c>
      <x:c r="C10" s="39" t="n">
        <x:v>18</x:v>
      </x:c>
      <x:c r="D10" s="39"/>
      <x:c r="E10" s="36" t="str">
        <x:v>分钟/笔</x:v>
      </x:c>
      <x:c r="F10" s="30" t="str">
        <x:v>事实</x:v>
      </x:c>
      <x:c r="G10" s="30" t="str">
        <x:v>02_项目事实表.xlsx</x:v>
      </x:c>
      <x:c r="H10" s="30" t="str">
        <x:v>项目事实!F06</x:v>
      </x:c>
      <x:c r="I10" s="30" t="str">
        <x:v>平均值</x:v>
      </x:c>
    </x:row>
    <x:row r="11" ht="15" hidden="0" customHeight="1">
      <x:c r="A11" s="33" t="str">
        <x:v>F07</x:v>
      </x:c>
      <x:c r="B11" s="30" t="str">
        <x:v>当前误报率</x:v>
      </x:c>
      <x:c r="C11" s="41" t="n">
        <x:v>0.62</x:v>
      </x:c>
      <x:c r="D11" s="41"/>
      <x:c r="E11" s="36" t="str">
        <x:v>%</x:v>
      </x:c>
      <x:c r="F11" s="30" t="str">
        <x:v>事实</x:v>
      </x:c>
      <x:c r="G11" s="30" t="str">
        <x:v>02_项目事实表.xlsx</x:v>
      </x:c>
      <x:c r="H11" s="30" t="str">
        <x:v>项目事实!F07</x:v>
      </x:c>
      <x:c r="I11" s="30" t="str">
        <x:v>不得与准确率混用</x:v>
      </x:c>
    </x:row>
    <x:row r="12" ht="15" hidden="0" customHeight="1">
      <x:c r="A12" s="33" t="str">
        <x:v>F08</x:v>
      </x:c>
      <x:c r="B12" s="30" t="str">
        <x:v>初版预算</x:v>
      </x:c>
      <x:c r="C12" s="39" t="n">
        <x:v>8000000</x:v>
      </x:c>
      <x:c r="D12" s="39"/>
      <x:c r="E12" s="36" t="str">
        <x:v>元</x:v>
      </x:c>
      <x:c r="F12" s="30" t="str">
        <x:v>事实（历史）</x:v>
      </x:c>
      <x:c r="G12" s="30" t="str">
        <x:v>02_项目事实表.xlsx</x:v>
      </x:c>
      <x:c r="H12" s="30" t="str">
        <x:v>项目事实!F08</x:v>
      </x:c>
      <x:c r="I12" s="30" t="str">
        <x:v>已被CHG-01替代；仅可出现在历史变更记录</x:v>
      </x:c>
    </x:row>
    <x:row r="13" ht="15" hidden="0" customHeight="1">
      <x:c r="A13" s="33" t="str">
        <x:v>F09</x:v>
      </x:c>
      <x:c r="B13" s="30" t="str">
        <x:v>变更后预算上限</x:v>
      </x:c>
      <x:c r="C13" s="39" t="n">
        <x:v>6500000</x:v>
      </x:c>
      <x:c r="D13" s="39"/>
      <x:c r="E13" s="36" t="str">
        <x:v>元</x:v>
      </x:c>
      <x:c r="F13" s="30" t="str">
        <x:v>事实</x:v>
      </x:c>
      <x:c r="G13" s="30" t="str">
        <x:v>02_项目事实表.xlsx</x:v>
      </x:c>
      <x:c r="H13" s="30" t="str">
        <x:v>项目事实!F09</x:v>
      </x:c>
      <x:c r="I13" s="30" t="str">
        <x:v>CHG-01当前正式口径</x:v>
      </x:c>
    </x:row>
    <x:row r="14" ht="15" hidden="0" customHeight="1">
      <x:c r="A14" s="33" t="str">
        <x:v>F10</x:v>
      </x:c>
      <x:c r="B14" s="30" t="str">
        <x:v>变更后总周期</x:v>
      </x:c>
      <x:c r="C14" s="39" t="n">
        <x:v>9</x:v>
      </x:c>
      <x:c r="D14" s="39"/>
      <x:c r="E14" s="36" t="str">
        <x:v>月</x:v>
      </x:c>
      <x:c r="F14" s="30" t="str">
        <x:v>事实</x:v>
      </x:c>
      <x:c r="G14" s="30" t="str">
        <x:v>02_项目事实表.xlsx</x:v>
      </x:c>
      <x:c r="H14" s="30" t="str">
        <x:v>项目事实!F10</x:v>
      </x:c>
      <x:c r="I14" s="30" t="str">
        <x:v>含前3个月有限试点；第3个月末门槛评审</x:v>
      </x:c>
    </x:row>
    <x:row r="15" ht="15" hidden="0" customHeight="1">
      <x:c r="A15" s="33" t="str">
        <x:v>S01</x:v>
      </x:c>
      <x:c r="B15" s="30" t="str">
        <x:v>欺诈损失改善</x:v>
      </x:c>
      <x:c r="C15" s="41" t="n">
        <x:v>0.25</x:v>
      </x:c>
      <x:c r="D15" s="41" t="n">
        <x:v>0.35</x:v>
      </x:c>
      <x:c r="E15" s="36" t="str">
        <x:v>%</x:v>
      </x:c>
      <x:c r="F15" s="30" t="str">
        <x:v>供应商主张，尚未验证</x:v>
      </x:c>
      <x:c r="G15" s="30" t="str">
        <x:v>04_供应商方案摘要.pdf</x:v>
      </x:c>
      <x:c r="H15" s="30" t="str">
        <x:v>第2页/三、供应商效果主张</x:v>
      </x:c>
      <x:c r="I15" s="30" t="str">
        <x:v>无可比样本与评价方法；不得写成承诺</x:v>
      </x:c>
    </x:row>
    <x:row r="16" ht="15" hidden="0" customHeight="1">
      <x:c r="A16" s="33" t="str">
        <x:v>S02</x:v>
      </x:c>
      <x:c r="B16" s="30" t="str">
        <x:v>人工审核效率提升</x:v>
      </x:c>
      <x:c r="C16" s="41" t="n">
        <x:v>0.3</x:v>
      </x:c>
      <x:c r="D16" s="41"/>
      <x:c r="E16" s="36" t="str">
        <x:v>%</x:v>
      </x:c>
      <x:c r="F16" s="30" t="str">
        <x:v>供应商主张，尚未验证</x:v>
      </x:c>
      <x:c r="G16" s="30" t="str">
        <x:v>04_供应商方案摘要.pdf</x:v>
      </x:c>
      <x:c r="H16" s="30" t="str">
        <x:v>第2页/三、供应商效果主张</x:v>
      </x:c>
      <x:c r="I16" s="30" t="str">
        <x:v>效率口径、人员重配和质量约束未说明</x:v>
      </x:c>
    </x:row>
    <x:row r="17" ht="15" hidden="0" customHeight="1">
      <x:c r="A17" s="33" t="str">
        <x:v>S03</x:v>
      </x:c>
      <x:c r="B17" s="30" t="str">
        <x:v>误报率目标</x:v>
      </x:c>
      <x:c r="C17" s="41" t="n">
        <x:v>0.45</x:v>
      </x:c>
      <x:c r="D17" s="41" t="n">
        <x:v>0.5</x:v>
      </x:c>
      <x:c r="E17" s="36" t="str">
        <x:v>%</x:v>
      </x:c>
      <x:c r="F17" s="30" t="str">
        <x:v>供应商主张，尚未验证</x:v>
      </x:c>
      <x:c r="G17" s="30" t="str">
        <x:v>04_供应商方案摘要.pdf</x:v>
      </x:c>
      <x:c r="H17" s="30" t="str">
        <x:v>第2页/三、供应商效果主张</x:v>
      </x:c>
      <x:c r="I17" s="30" t="str">
        <x:v>必须保留区间；漏报变化与客户影响待确认</x:v>
      </x:c>
    </x:row>
    <x:row r="18" ht="15" hidden="0" customHeight="1">
      <x:c r="A18" s="33" t="str">
        <x:v>S04</x:v>
      </x:c>
      <x:c r="B18" s="30" t="str">
        <x:v>初版实施周期</x:v>
      </x:c>
      <x:c r="C18" s="39" t="n">
        <x:v>12</x:v>
      </x:c>
      <x:c r="D18" s="39"/>
      <x:c r="E18" s="36" t="str">
        <x:v>月</x:v>
      </x:c>
      <x:c r="F18" s="30" t="str">
        <x:v>供应商主张（历史）</x:v>
      </x:c>
      <x:c r="G18" s="30" t="str">
        <x:v>04_供应商方案摘要.pdf</x:v>
      </x:c>
      <x:c r="H18" s="30" t="str">
        <x:v>第1—2页/二、初版实施与报价</x:v>
      </x:c>
      <x:c r="I18" s="30" t="str">
        <x:v>已被CHG-01的9个月正式口径替代</x:v>
      </x:c>
    </x:row>
    <x:row r="19" ht="15" hidden="0" customHeight="1">
      <x:c r="A19" s="33" t="str">
        <x:v>S05</x:v>
      </x:c>
      <x:c r="B19" s="30" t="str">
        <x:v>初版报价</x:v>
      </x:c>
      <x:c r="C19" s="39" t="n">
        <x:v>8000000</x:v>
      </x:c>
      <x:c r="D19" s="39"/>
      <x:c r="E19" s="36" t="str">
        <x:v>元</x:v>
      </x:c>
      <x:c r="F19" s="30" t="str">
        <x:v>供应商主张（历史）</x:v>
      </x:c>
      <x:c r="G19" s="30" t="str">
        <x:v>04_供应商方案摘要.pdf</x:v>
      </x:c>
      <x:c r="H19" s="30" t="str">
        <x:v>第2页/二、初版实施与报价</x:v>
      </x:c>
      <x:c r="I19" s="30" t="str">
        <x:v>已被CHG-01的650万元预算上限替代；报价边界不完整</x:v>
      </x:c>
    </x:row>
    <x:row r="20" ht="24" hidden="0" customHeight="1">
      <x:c r="A20" s="33" t="str">
        <x:v>A01</x:v>
      </x:c>
      <x:c r="B20" s="30" t="str">
        <x:v>损失改善情景值</x:v>
      </x:c>
      <x:c r="C20" s="39" t="n">
        <x:v>9000000</x:v>
      </x:c>
      <x:c r="D20" s="39" t="n">
        <x:v>12600000</x:v>
      </x:c>
      <x:c r="E20" s="36" t="str">
        <x:v>元</x:v>
      </x:c>
      <x:c r="F20" s="30" t="str">
        <x:v>假设</x:v>
      </x:c>
      <x:c r="G20" s="30" t="str">
        <x:v>02_项目事实表.xlsx；04_供应商方案摘要.pdf</x:v>
      </x:c>
      <x:c r="H20" s="30" t="str">
        <x:v>分析摘要/供应商损失改善低值与高值</x:v>
      </x:c>
      <x:c r="I20" s="30" t="str">
        <x:v>将未验证比例机械作用于F04；不是预测、承诺或ROI</x:v>
      </x:c>
    </x:row>
    <x:row r="21" ht="15" hidden="0" customHeight="1">
      <x:c r="A21" s="33" t="str">
        <x:v>T01</x:v>
      </x:c>
      <x:c r="B21" s="30" t="str">
        <x:v>数据授权、用途与保存期限</x:v>
      </x:c>
      <x:c r="C21" s="39"/>
      <x:c r="D21" s="39"/>
      <x:c r="E21" s="36" t="str">
        <x:v>—</x:v>
      </x:c>
      <x:c r="F21" s="30" t="str">
        <x:v>待确认</x:v>
      </x:c>
      <x:c r="G21" s="30" t="str">
        <x:v>04_供应商方案摘要.pdf</x:v>
      </x:c>
      <x:c r="H21" s="30" t="str">
        <x:v>第2页/四、前置条件与限制</x:v>
      </x:c>
      <x:c r="I21" s="30" t="str">
        <x:v>授权不清时不得启动</x:v>
      </x:c>
    </x:row>
    <x:row r="22" ht="15" hidden="0" customHeight="1">
      <x:c r="A22" s="33" t="str">
        <x:v>T02</x:v>
      </x:c>
      <x:c r="B22" s="30" t="str">
        <x:v>实时接口、字段完整度与标签质量</x:v>
      </x:c>
      <x:c r="C22" s="39"/>
      <x:c r="D22" s="39"/>
      <x:c r="E22" s="36" t="str">
        <x:v>—</x:v>
      </x:c>
      <x:c r="F22" s="30" t="str">
        <x:v>待确认</x:v>
      </x:c>
      <x:c r="G22" s="30" t="str">
        <x:v>04_供应商方案摘要.pdf</x:v>
      </x:c>
      <x:c r="H22" s="30" t="str">
        <x:v>第2页/四、前置条件与限制</x:v>
      </x:c>
      <x:c r="I22" s="30" t="str">
        <x:v>影响实时效果与可验证性</x:v>
      </x:c>
    </x:row>
    <x:row r="23" ht="24" hidden="0" customHeight="1">
      <x:c r="A23" s="33" t="str">
        <x:v>T03</x:v>
      </x:c>
      <x:c r="B23" s="30" t="str">
        <x:v>62%误报率与13.3%确认欺诈率的口径关系</x:v>
      </x:c>
      <x:c r="C23" s="39"/>
      <x:c r="D23" s="39"/>
      <x:c r="E23" s="36" t="str">
        <x:v>—</x:v>
      </x:c>
      <x:c r="F23" s="30" t="str">
        <x:v>待确认</x:v>
      </x:c>
      <x:c r="G23" s="30" t="str">
        <x:v>02_项目事实表.xlsx</x:v>
      </x:c>
      <x:c r="H23" s="30" t="str">
        <x:v>口径说明；分析摘要</x:v>
      </x:c>
      <x:c r="I23" s="30" t="str">
        <x:v>两项均原样保留，不自行修正</x:v>
      </x:c>
    </x:row>
    <x:row r="24" ht="15" hidden="0" customHeight="1">
      <x:c r="A24" s="33" t="str">
        <x:v>T04</x:v>
      </x:c>
      <x:c r="B24" s="30" t="str">
        <x:v>漏报基线、容忍边界与停止条件</x:v>
      </x:c>
      <x:c r="C24" s="39"/>
      <x:c r="D24" s="39"/>
      <x:c r="E24" s="36" t="str">
        <x:v>—</x:v>
      </x:c>
      <x:c r="F24" s="30" t="str">
        <x:v>待确认</x:v>
      </x:c>
      <x:c r="G24" s="30" t="str">
        <x:v>02_项目事实表.xlsx</x:v>
      </x:c>
      <x:c r="H24" s="30" t="str">
        <x:v>风险清单!R03；口径说明</x:v>
      </x:c>
      <x:c r="I24" s="30" t="str">
        <x:v>需风控与模型风险共同确认</x:v>
      </x:c>
    </x:row>
    <x:row r="25" ht="24" hidden="0" customHeight="1">
      <x:c r="A25" s="33" t="str">
        <x:v>T05</x:v>
      </x:c>
      <x:c r="B25" s="30" t="str">
        <x:v>客户投诉、争议与正常交易受阻基线</x:v>
      </x:c>
      <x:c r="C25" s="39"/>
      <x:c r="D25" s="39"/>
      <x:c r="E25" s="36" t="str">
        <x:v>—</x:v>
      </x:c>
      <x:c r="F25" s="30" t="str">
        <x:v>待确认</x:v>
      </x:c>
      <x:c r="G25" s="30" t="str">
        <x:v>02_项目事实表.xlsx</x:v>
      </x:c>
      <x:c r="H25" s="30" t="str">
        <x:v>风险清单!R02、R08</x:v>
      </x:c>
      <x:c r="I25" s="30" t="str">
        <x:v>用于平衡评价误报改善</x:v>
      </x:c>
    </x:row>
    <x:row r="26" ht="24" hidden="0" customHeight="1">
      <x:c r="A26" s="33" t="str">
        <x:v>T06</x:v>
      </x:c>
      <x:c r="B26" s="30" t="str">
        <x:v>五项成本是否纳入650万元</x:v>
      </x:c>
      <x:c r="C26" s="39"/>
      <x:c r="D26" s="39"/>
      <x:c r="E26" s="36" t="str">
        <x:v>—</x:v>
      </x:c>
      <x:c r="F26" s="30" t="str">
        <x:v>待确认</x:v>
      </x:c>
      <x:c r="G26" s="30" t="str">
        <x:v>04_供应商方案摘要.pdf</x:v>
      </x:c>
      <x:c r="H26" s="30" t="str">
        <x:v>第2页/二、初版实施与报价</x:v>
      </x:c>
      <x:c r="I26" s="30" t="str">
        <x:v>内部人员、数据治理整改、长期运维、额外接口、退出迁移均未明确纳入</x:v>
      </x:c>
    </x:row>
    <x:row r="27" ht="15" hidden="0" customHeight="1">
      <x:c r="A27" s="34" t="str">
        <x:v>T07</x:v>
      </x:c>
      <x:c r="B27" s="31" t="str">
        <x:v>供应商效果的可比样本与评价方法</x:v>
      </x:c>
      <x:c r="C27" s="40"/>
      <x:c r="D27" s="40"/>
      <x:c r="E27" s="37" t="str">
        <x:v>—</x:v>
      </x:c>
      <x:c r="F27" s="31" t="str">
        <x:v>待确认</x:v>
      </x:c>
      <x:c r="G27" s="31" t="str">
        <x:v>04_供应商方案摘要.pdf</x:v>
      </x:c>
      <x:c r="H27" s="31" t="str">
        <x:v>第2页/三、供应商效果主张</x:v>
      </x:c>
      <x:c r="I27" s="31" t="str">
        <x:v>完成银行环境验证前不得提升证据等级</x:v>
      </x:c>
    </x:row>
  </x:sheetData>
  <x:mergeCells>
    <x:mergeCell ref="A1:I1"/>
    <x:mergeCell ref="A2:I2"/>
  </x:mergeCells>
  <x:conditionalFormatting sqref="F5:F27">
    <x:cfRule type="containsText" dxfId="0" priority="1" operator="containsText" text="供应商主张"/>
    <x:cfRule type="containsText" dxfId="1" priority="2" operator="containsText" text="待确认"/>
    <x:cfRule type="containsText" dxfId="2" priority="3" operator="containsText" text="假设"/>
    <x:cfRule type="containsText" dxfId="3" priority="4" operator="containsText" text="事实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46" hidden="0" customWidth="1"/>
    <x:col min="4" max="4" width="30" hidden="0" customWidth="1"/>
  </x:cols>
  <x:sheetData>
    <x:row r="1" ht="32" customHeight="1">
      <x:c r="A1" s="2" t="str">
        <x:v>口径说明与使用规则</x:v>
      </x:c>
      <x:c r="B1" s="2"/>
      <x:c r="C1" s="2"/>
      <x:c r="D1" s="2"/>
    </x:row>
    <x:row r="3" ht="15" hidden="0" customHeight="1">
      <x:c r="A3" s="42" t="str">
        <x:v>项目</x:v>
      </x:c>
      <x:c r="B3" s="42" t="str">
        <x:v>定义</x:v>
      </x:c>
      <x:c r="C3" s="42" t="str">
        <x:v>证据优先级/处理</x:v>
      </x:c>
      <x:c r="D3" s="42" t="str">
        <x:v>当前结论</x:v>
      </x:c>
    </x:row>
    <x:row r="4" ht="15" hidden="0" customHeight="1">
      <x:c r="A4" s="62" t="str">
        <x:v>证据标签</x:v>
      </x:c>
      <x:c r="B4" s="63" t="str">
        <x:v>事实、供应商主张、假设、待确认</x:v>
      </x:c>
      <x:c r="C4" s="63" t="str">
        <x:v>管理层变更卡＞正式事实表＞供应商主张＞分析假设</x:v>
      </x:c>
      <x:c r="D4" s="64" t="str">
        <x:v>不得越级改写</x:v>
      </x:c>
    </x:row>
    <x:row r="5" ht="15" hidden="0" customHeight="1">
      <x:c r="A5" s="65" t="str">
        <x:v>预算</x:v>
      </x:c>
      <x:c r="B5" s="66" t="str">
        <x:v>管理层批准的项目上限</x:v>
      </x:c>
      <x:c r="C5" s="66" t="str">
        <x:v>事实表F09/CHG-01</x:v>
      </x:c>
      <x:c r="D5" s="67" t="str">
        <x:v>650万元</x:v>
      </x:c>
    </x:row>
    <x:row r="6" ht="15" hidden="0" customHeight="1">
      <x:c r="A6" s="65" t="str">
        <x:v>周期</x:v>
      </x:c>
      <x:c r="B6" s="66" t="str">
        <x:v>准备至受控扩展的总周期</x:v>
      </x:c>
      <x:c r="C6" s="66" t="str">
        <x:v>事实表F10/CHG-01</x:v>
      </x:c>
      <x:c r="D6" s="67" t="str">
        <x:v>9个月</x:v>
      </x:c>
    </x:row>
    <x:row r="7" ht="15" hidden="0" customHeight="1">
      <x:c r="A7" s="65" t="str">
        <x:v>试点原则</x:v>
      </x:c>
      <x:c r="B7" s="66" t="str">
        <x:v>前3个月有限试点，第3个月末门槛评审</x:v>
      </x:c>
      <x:c r="C7" s="66" t="str">
        <x:v>CHG-01</x:v>
      </x:c>
      <x:c r="D7" s="67" t="str">
        <x:v>未通过不得扩展</x:v>
      </x:c>
    </x:row>
    <x:row r="8" ht="15" hidden="0" customHeight="1">
      <x:c r="A8" s="65" t="str">
        <x:v>供应商效果</x:v>
      </x:c>
      <x:c r="B8" s="66" t="str">
        <x:v>未来效果预期</x:v>
      </x:c>
      <x:c r="C8" s="66" t="str">
        <x:v>仅证明供应商提出主张</x:v>
      </x:c>
      <x:c r="D8" s="67" t="str">
        <x:v>尚未验证</x:v>
      </x:c>
    </x:row>
    <x:row r="9" ht="15" hidden="0" customHeight="1">
      <x:c r="A9" s="65" t="str">
        <x:v>成本边界</x:v>
      </x:c>
      <x:c r="B9" s="66" t="str">
        <x:v>供应商报价未明确覆盖的投入</x:v>
      </x:c>
      <x:c r="C9" s="66" t="str">
        <x:v>供应商摘要第2页</x:v>
      </x:c>
      <x:c r="D9" s="67" t="str">
        <x:v>五项均待确认</x:v>
      </x:c>
    </x:row>
    <x:row r="10" ht="15" hidden="0" customHeight="1">
      <x:c r="A10" s="68" t="str">
        <x:v>决策责任</x:v>
      </x:c>
      <x:c r="B10" s="69" t="str">
        <x:v>模型仅辅助排序与解释</x:v>
      </x:c>
      <x:c r="C10" s="69" t="str">
        <x:v>供应商限制及风险治理要求</x:v>
      </x:c>
      <x:c r="D10" s="70" t="str">
        <x:v>人工保留最终处置权</x:v>
      </x:c>
    </x:row>
    <x:row r="11"/>
    <x:row r="12" ht="15" hidden="0" customHeight="1">
      <x:c r="A12" s="71" t="str">
        <x:v>标签</x:v>
      </x:c>
      <x:c r="B12" s="71" t="str">
        <x:v>数量</x:v>
      </x:c>
    </x:row>
    <x:row r="13" ht="15" hidden="0" customHeight="1">
      <x:c r="A13" s="72" t="str">
        <x:v>事实</x:v>
      </x:c>
      <x:c r="B13" s="78" t="n">
        <x:f>COUNTA('证据分类表'!$F$5:$F$14)</x:f>
        <x:v>10</x:v>
      </x:c>
    </x:row>
    <x:row r="14" ht="15" hidden="0" customHeight="1">
      <x:c r="A14" s="74" t="str">
        <x:v>供应商主张</x:v>
      </x:c>
      <x:c r="B14" s="79" t="n">
        <x:f>COUNTA('证据分类表'!$F$15:$F$19)</x:f>
        <x:v>5</x:v>
      </x:c>
    </x:row>
    <x:row r="15" ht="15" hidden="0" customHeight="1">
      <x:c r="A15" s="74" t="str">
        <x:v>假设</x:v>
      </x:c>
      <x:c r="B15" s="79" t="n">
        <x:f>COUNTA('证据分类表'!$F$20)</x:f>
        <x:v>1</x:v>
      </x:c>
    </x:row>
    <x:row r="16" ht="15" hidden="0" customHeight="1">
      <x:c r="A16" s="76" t="str">
        <x:v>待确认</x:v>
      </x:c>
      <x:c r="B16" s="80" t="n">
        <x:f>COUNTA('证据分类表'!$F$21:$F$27)</x:f>
        <x:v>7</x:v>
      </x:c>
    </x:row>
    <x:row r="17"/>
    <x:row r="18" ht="15" hidden="0" customHeight="1">
      <x:c r="A18" s="83" t="str">
        <x:v>说明：历史800万元和12个月只用于追溯，不得作为当前正文口径。A01情景值由事实基数与未验证主张机械组合，不是预测、承诺或ROI。</x:v>
      </x:c>
      <x:c r="B18" s="83"/>
      <x:c r="C18" s="83"/>
      <x:c r="D18" s="83"/>
    </x:row>
  </x:sheetData>
  <x:mergeCells>
    <x:mergeCell ref="A1:D1"/>
    <x:mergeCell ref="A18:D18"/>
  </x:mergeCells>
  <x:pageMargins left="0.7" right="0.7" top="0.75" bottom="0.75" header="0.3" footer="0.3"/>
</x:worksheet>
</file>